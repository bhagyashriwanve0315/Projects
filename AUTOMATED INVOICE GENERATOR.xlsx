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ello\Documents\data analytics\Excel\Project\"/>
    </mc:Choice>
  </mc:AlternateContent>
  <bookViews>
    <workbookView xWindow="0" yWindow="0" windowWidth="19200" windowHeight="7310"/>
  </bookViews>
  <sheets>
    <sheet name="Clients_Master" sheetId="1" r:id="rId1"/>
    <sheet name="Product_master" sheetId="2" r:id="rId2"/>
    <sheet name="Invoice" sheetId="4" r:id="rId3"/>
    <sheet name="Invoice_Data" sheetId="6" r:id="rId4"/>
    <sheet name="README" sheetId="7" r:id="rId5"/>
  </sheets>
  <externalReferences>
    <externalReference r:id="rId6"/>
  </externalReferenc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5" i="4" l="1"/>
  <c r="F1" i="4"/>
  <c r="E13" i="4"/>
  <c r="E12" i="4"/>
  <c r="E11" i="4"/>
  <c r="D13" i="4"/>
  <c r="F13" i="4" s="1"/>
  <c r="D12" i="4"/>
  <c r="B13" i="4"/>
  <c r="B12" i="4"/>
  <c r="B11" i="4"/>
  <c r="B8" i="4"/>
  <c r="B7" i="4"/>
  <c r="B6" i="4"/>
  <c r="D11" i="4"/>
  <c r="F11" i="4" s="1"/>
  <c r="B11" i="2"/>
  <c r="F12" i="4" l="1"/>
  <c r="F14" i="4" s="1"/>
  <c r="F16" i="4" s="1"/>
</calcChain>
</file>

<file path=xl/sharedStrings.xml><?xml version="1.0" encoding="utf-8"?>
<sst xmlns="http://schemas.openxmlformats.org/spreadsheetml/2006/main" count="179" uniqueCount="172">
  <si>
    <t>Client_ID</t>
  </si>
  <si>
    <t>Client_Name</t>
  </si>
  <si>
    <t xml:space="preserve">    Company_Name</t>
  </si>
  <si>
    <t xml:space="preserve">            Email</t>
  </si>
  <si>
    <t xml:space="preserve">                        Phone</t>
  </si>
  <si>
    <t xml:space="preserve">        City</t>
  </si>
  <si>
    <t>C001</t>
  </si>
  <si>
    <t xml:space="preserve">    Rahul Sharma</t>
  </si>
  <si>
    <t>Alpha Tech Pvt Ltd</t>
  </si>
  <si>
    <t xml:space="preserve">        rahul@alphatech.com</t>
  </si>
  <si>
    <t xml:space="preserve">    Delhi</t>
  </si>
  <si>
    <t>C002</t>
  </si>
  <si>
    <t xml:space="preserve">    Neha Verma</t>
  </si>
  <si>
    <t xml:space="preserve">    Bright Solutions</t>
  </si>
  <si>
    <t xml:space="preserve">        neha@brightsolutions.com</t>
  </si>
  <si>
    <t xml:space="preserve">    Mumbai</t>
  </si>
  <si>
    <t>C003</t>
  </si>
  <si>
    <t xml:space="preserve">    Arjun Mehta</t>
  </si>
  <si>
    <t xml:space="preserve">    NextGen Systems</t>
  </si>
  <si>
    <t xml:space="preserve">            arjun@nextgensys.com</t>
  </si>
  <si>
    <t xml:space="preserve">    Bengaluru</t>
  </si>
  <si>
    <t>C004</t>
  </si>
  <si>
    <t xml:space="preserve">    Pooja Singh</t>
  </si>
  <si>
    <t xml:space="preserve">    Innovate Labs</t>
  </si>
  <si>
    <t xml:space="preserve">            pooja@innovatelabs.com</t>
  </si>
  <si>
    <t xml:space="preserve">    Pune</t>
  </si>
  <si>
    <t>C005</t>
  </si>
  <si>
    <t xml:space="preserve">    Aman Gupta</t>
  </si>
  <si>
    <t xml:space="preserve">    UrbanMart Retail</t>
  </si>
  <si>
    <t xml:space="preserve">        aman@urbanmart.com</t>
  </si>
  <si>
    <t xml:space="preserve">    Jaipur</t>
  </si>
  <si>
    <t>C006</t>
  </si>
  <si>
    <t xml:space="preserve">    Sneha Iyer</t>
  </si>
  <si>
    <t xml:space="preserve">    CloudNova IT Services</t>
  </si>
  <si>
    <t xml:space="preserve">    sneha@cloudnova.com</t>
  </si>
  <si>
    <t xml:space="preserve">    Chennai</t>
  </si>
  <si>
    <t>C007</t>
  </si>
  <si>
    <t xml:space="preserve">    Rohan Patel</t>
  </si>
  <si>
    <t xml:space="preserve">    SmartEdge Consulting</t>
  </si>
  <si>
    <t xml:space="preserve">    rohan@smartedge.com</t>
  </si>
  <si>
    <t xml:space="preserve">    Ahmedabad</t>
  </si>
  <si>
    <t>C008</t>
  </si>
  <si>
    <t xml:space="preserve">    Kavita Nair</t>
  </si>
  <si>
    <t xml:space="preserve">    BlueWave Digital</t>
  </si>
  <si>
    <t xml:space="preserve">        kavita@bluewave.com</t>
  </si>
  <si>
    <t xml:space="preserve">    Kochi</t>
  </si>
  <si>
    <t>C009</t>
  </si>
  <si>
    <t xml:space="preserve">    Mohit Khanna</t>
  </si>
  <si>
    <t>PixelWorks Studio</t>
  </si>
  <si>
    <t xml:space="preserve">        mohit@pixelworks.com</t>
  </si>
  <si>
    <t xml:space="preserve">    Gurugram</t>
  </si>
  <si>
    <t>C010</t>
  </si>
  <si>
    <t xml:space="preserve">    Anjali Deshmukh</t>
  </si>
  <si>
    <t>GrowthBridge Solutions</t>
  </si>
  <si>
    <t xml:space="preserve">    anjali@growthbridge.com</t>
  </si>
  <si>
    <t xml:space="preserve">    Nagpur</t>
  </si>
  <si>
    <t>C011</t>
  </si>
  <si>
    <t xml:space="preserve">    Suresh Rao</t>
  </si>
  <si>
    <t xml:space="preserve">    Apex Business Services</t>
  </si>
  <si>
    <t xml:space="preserve">    suresh@apexbiz.com</t>
  </si>
  <si>
    <t xml:space="preserve">    Hyderabad</t>
  </si>
  <si>
    <t>C012</t>
  </si>
  <si>
    <t xml:space="preserve">    Ritu Malhotra</t>
  </si>
  <si>
    <t>CreativeHive Agency</t>
  </si>
  <si>
    <t xml:space="preserve">        ritu@creativehive.com</t>
  </si>
  <si>
    <t xml:space="preserve">    Noida</t>
  </si>
  <si>
    <t>C013</t>
  </si>
  <si>
    <t xml:space="preserve">    Deepak Yadav</t>
  </si>
  <si>
    <t>DataSpring Analytics</t>
  </si>
  <si>
    <t xml:space="preserve">    deepak@dataspring.com</t>
  </si>
  <si>
    <t xml:space="preserve">    Indore</t>
  </si>
  <si>
    <t>C014</t>
  </si>
  <si>
    <t xml:space="preserve">    Nisha Kulkarni</t>
  </si>
  <si>
    <t>PrimePath Consultants</t>
  </si>
  <si>
    <t xml:space="preserve">    nisha@primepath.com</t>
  </si>
  <si>
    <t xml:space="preserve">    Nashik</t>
  </si>
  <si>
    <t>C015</t>
  </si>
  <si>
    <t xml:space="preserve">    Varun Kapoor</t>
  </si>
  <si>
    <t>MarketMinds Pvt Ltd</t>
  </si>
  <si>
    <t xml:space="preserve">        varun@marketminds.com</t>
  </si>
  <si>
    <t xml:space="preserve">    Chandigarh</t>
  </si>
  <si>
    <t>Product_ID</t>
  </si>
  <si>
    <t>Product_Name</t>
  </si>
  <si>
    <t xml:space="preserve">            Category</t>
  </si>
  <si>
    <t xml:space="preserve">        Unit_Price</t>
  </si>
  <si>
    <t>Tax_%</t>
  </si>
  <si>
    <t>P001</t>
  </si>
  <si>
    <t xml:space="preserve">    Website Design</t>
  </si>
  <si>
    <t xml:space="preserve">            IT Services</t>
  </si>
  <si>
    <t>P002</t>
  </si>
  <si>
    <t xml:space="preserve">    Logo Design</t>
  </si>
  <si>
    <t xml:space="preserve">                Design Services</t>
  </si>
  <si>
    <t>P003</t>
  </si>
  <si>
    <t xml:space="preserve">    Mobile App Development</t>
  </si>
  <si>
    <t xml:space="preserve">    IT Services</t>
  </si>
  <si>
    <t>P004</t>
  </si>
  <si>
    <t xml:space="preserve">    Digital Marketing Package</t>
  </si>
  <si>
    <t>Marketing</t>
  </si>
  <si>
    <t>P005</t>
  </si>
  <si>
    <t xml:space="preserve">    SEO Optimization</t>
  </si>
  <si>
    <t xml:space="preserve">            Marketing</t>
  </si>
  <si>
    <t>P006</t>
  </si>
  <si>
    <t xml:space="preserve">    Social Media Management</t>
  </si>
  <si>
    <t xml:space="preserve">    Marketing</t>
  </si>
  <si>
    <t>P007</t>
  </si>
  <si>
    <t xml:space="preserve">    Business Consulting</t>
  </si>
  <si>
    <t xml:space="preserve">        Consulting</t>
  </si>
  <si>
    <t>P008</t>
  </si>
  <si>
    <t xml:space="preserve">    Data Analysis &amp; Reporting</t>
  </si>
  <si>
    <t>Analytics</t>
  </si>
  <si>
    <t>P009</t>
  </si>
  <si>
    <t xml:space="preserve">    UI/UX Design</t>
  </si>
  <si>
    <t>P010</t>
  </si>
  <si>
    <t xml:space="preserve">        IT Services</t>
  </si>
  <si>
    <t>P011</t>
  </si>
  <si>
    <t xml:space="preserve">    Cloud Setup &amp; Support</t>
  </si>
  <si>
    <t>P012</t>
  </si>
  <si>
    <t xml:space="preserve">    Training &amp; Workshops</t>
  </si>
  <si>
    <t xml:space="preserve">        Training</t>
  </si>
  <si>
    <t>P013</t>
  </si>
  <si>
    <t xml:space="preserve">    Content Writing</t>
  </si>
  <si>
    <t xml:space="preserve">            Content Services</t>
  </si>
  <si>
    <t>P014</t>
  </si>
  <si>
    <t xml:space="preserve">    E-commerce Setup</t>
  </si>
  <si>
    <t>P015</t>
  </si>
  <si>
    <t xml:space="preserve">    Annual Technical Support</t>
  </si>
  <si>
    <t xml:space="preserve">    Support</t>
  </si>
  <si>
    <t>Notes:</t>
  </si>
  <si>
    <t>Thank you for your business.</t>
  </si>
  <si>
    <t>Payment is due within 15 days from invoice date.</t>
  </si>
  <si>
    <t>Bank Details:</t>
  </si>
  <si>
    <t>Account Name: Alpha Tech Pvt Ltd</t>
  </si>
  <si>
    <t>Account No:   1234567890</t>
  </si>
  <si>
    <t>IFSC Code:    ABCD0123456</t>
  </si>
  <si>
    <t>Shriram Professional Invoice</t>
  </si>
  <si>
    <t>Product ID</t>
  </si>
  <si>
    <t>Product Name</t>
  </si>
  <si>
    <t>Qty</t>
  </si>
  <si>
    <t>Unit Price</t>
  </si>
  <si>
    <t>Tax %</t>
  </si>
  <si>
    <t>Amount</t>
  </si>
  <si>
    <t>Subtotal</t>
  </si>
  <si>
    <t>Tax Amount</t>
  </si>
  <si>
    <t>Grand Total</t>
  </si>
  <si>
    <t>Bill To:</t>
  </si>
  <si>
    <t>Profesional invoice</t>
  </si>
  <si>
    <t>Client ID:</t>
  </si>
  <si>
    <t>Client Name:</t>
  </si>
  <si>
    <t>Company:</t>
  </si>
  <si>
    <t>Address:</t>
  </si>
  <si>
    <t>INV-001</t>
  </si>
  <si>
    <t>INV-002</t>
  </si>
  <si>
    <t>INV-003</t>
  </si>
  <si>
    <t>Invoice_No</t>
  </si>
  <si>
    <r>
      <rPr>
        <b/>
        <sz val="11"/>
        <color rgb="FF0070C0"/>
        <rFont val="Calibri"/>
        <family val="2"/>
        <scheme val="minor"/>
      </rPr>
      <t>Invoice No</t>
    </r>
    <r>
      <rPr>
        <sz val="11"/>
        <color theme="1"/>
        <rFont val="Calibri"/>
        <family val="2"/>
        <scheme val="minor"/>
      </rPr>
      <t xml:space="preserve">: </t>
    </r>
  </si>
  <si>
    <r>
      <rPr>
        <b/>
        <sz val="11"/>
        <color rgb="FF0070C0"/>
        <rFont val="Calibri"/>
        <family val="2"/>
        <scheme val="minor"/>
      </rPr>
      <t>Invoice Date</t>
    </r>
    <r>
      <rPr>
        <sz val="11"/>
        <color theme="1"/>
        <rFont val="Calibri"/>
        <family val="2"/>
        <scheme val="minor"/>
      </rPr>
      <t xml:space="preserve">:  </t>
    </r>
  </si>
  <si>
    <r>
      <rPr>
        <b/>
        <sz val="11"/>
        <color rgb="FF0070C0"/>
        <rFont val="Calibri"/>
        <family val="2"/>
        <scheme val="minor"/>
      </rPr>
      <t>Due Date:</t>
    </r>
    <r>
      <rPr>
        <sz val="11"/>
        <color theme="1"/>
        <rFont val="Calibri"/>
        <family val="2"/>
        <scheme val="minor"/>
      </rPr>
      <t xml:space="preserve">    </t>
    </r>
  </si>
  <si>
    <t>Project Name:</t>
  </si>
  <si>
    <t>Automated Invoice Generator using Excel</t>
  </si>
  <si>
    <t>Objective:</t>
  </si>
  <si>
    <t>To automate invoice creation by minimizing manual data entry.</t>
  </si>
  <si>
    <t>Key Features:</t>
  </si>
  <si>
    <t>Excel Skills Used:</t>
  </si>
  <si>
    <t>Business Use Case:</t>
  </si>
  <si>
    <t>Used by freelancers and small businesses for billing.</t>
  </si>
  <si>
    <t>- Client &amp; product selection via dropdown</t>
  </si>
  <si>
    <t>- Automatic tax &amp; total calculation</t>
  </si>
  <si>
    <t>- Professional printable invoice format</t>
  </si>
  <si>
    <t>- Data Validation</t>
  </si>
  <si>
    <t>- IF functions</t>
  </si>
  <si>
    <t>- Formatting &amp; Dashboard design</t>
  </si>
  <si>
    <t>Vlookup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</si>
</sst>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u/>
      <sz val="16"/>
      <color rgb="FF0070C0"/>
      <name val="Calibri"/>
      <family val="2"/>
      <scheme val="minor"/>
    </font>
    <font>
      <i/>
      <sz val="11"/>
      <color rgb="FF0070C0"/>
      <name val="Calibri"/>
      <family val="2"/>
      <scheme val="minor"/>
    </font>
    <font>
      <b/>
      <sz val="11"/>
      <color rgb="FF0070C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9" fontId="0" fillId="0" borderId="0" xfId="0" applyNumberFormat="1"/>
    <xf numFmtId="0" fontId="0" fillId="0" borderId="0" xfId="0" applyAlignment="1">
      <alignment horizontal="left" vertical="top"/>
    </xf>
    <xf numFmtId="49" fontId="0" fillId="0" borderId="0" xfId="0" applyNumberFormat="1" applyAlignment="1">
      <alignment horizontal="left" vertical="top"/>
    </xf>
    <xf numFmtId="0" fontId="1" fillId="0" borderId="0" xfId="0" applyFont="1"/>
    <xf numFmtId="0" fontId="2" fillId="0" borderId="0" xfId="0" applyFont="1"/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2" xfId="0" applyBorder="1"/>
    <xf numFmtId="0" fontId="0" fillId="0" borderId="3" xfId="0" applyBorder="1"/>
    <xf numFmtId="0" fontId="0" fillId="0" borderId="8" xfId="0" applyBorder="1"/>
    <xf numFmtId="0" fontId="0" fillId="0" borderId="9" xfId="0" applyBorder="1"/>
    <xf numFmtId="0" fontId="0" fillId="0" borderId="6" xfId="0" applyBorder="1"/>
    <xf numFmtId="0" fontId="0" fillId="0" borderId="10" xfId="0" applyBorder="1"/>
    <xf numFmtId="0" fontId="0" fillId="0" borderId="4" xfId="0" applyBorder="1"/>
    <xf numFmtId="0" fontId="3" fillId="0" borderId="2" xfId="0" applyFont="1" applyBorder="1"/>
    <xf numFmtId="0" fontId="3" fillId="0" borderId="7" xfId="0" applyFont="1" applyBorder="1"/>
    <xf numFmtId="0" fontId="0" fillId="0" borderId="4" xfId="0" applyFont="1" applyBorder="1" applyAlignment="1">
      <alignment horizontal="center" vertical="top" wrapText="1"/>
    </xf>
    <xf numFmtId="0" fontId="0" fillId="0" borderId="5" xfId="0" applyFont="1" applyBorder="1" applyAlignment="1">
      <alignment horizontal="center" vertical="top" wrapText="1"/>
    </xf>
    <xf numFmtId="0" fontId="0" fillId="0" borderId="6" xfId="0" applyFont="1" applyBorder="1" applyAlignment="1">
      <alignment horizontal="center" vertical="top" wrapText="1"/>
    </xf>
    <xf numFmtId="0" fontId="0" fillId="0" borderId="0" xfId="0" applyFont="1" applyAlignment="1">
      <alignment horizontal="center" vertical="top"/>
    </xf>
    <xf numFmtId="0" fontId="0" fillId="0" borderId="8" xfId="0" applyBorder="1" applyAlignment="1">
      <alignment horizontal="left"/>
    </xf>
    <xf numFmtId="0" fontId="3" fillId="0" borderId="2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3" fillId="0" borderId="0" xfId="0" applyFont="1"/>
    <xf numFmtId="0" fontId="0" fillId="0" borderId="0" xfId="0" applyBorder="1"/>
    <xf numFmtId="0" fontId="0" fillId="0" borderId="5" xfId="0" applyBorder="1"/>
    <xf numFmtId="0" fontId="3" fillId="0" borderId="0" xfId="0" applyFont="1" applyBorder="1"/>
    <xf numFmtId="0" fontId="3" fillId="0" borderId="4" xfId="0" applyFont="1" applyBorder="1"/>
    <xf numFmtId="0" fontId="0" fillId="0" borderId="6" xfId="0" applyBorder="1" applyAlignment="1">
      <alignment horizontal="center"/>
    </xf>
    <xf numFmtId="0" fontId="0" fillId="2" borderId="7" xfId="0" applyFill="1" applyBorder="1"/>
    <xf numFmtId="0" fontId="0" fillId="2" borderId="9" xfId="0" applyFill="1" applyBorder="1"/>
    <xf numFmtId="0" fontId="3" fillId="0" borderId="10" xfId="0" applyFont="1" applyBorder="1"/>
    <xf numFmtId="15" fontId="0" fillId="0" borderId="3" xfId="0" applyNumberFormat="1" applyBorder="1"/>
  </cellXfs>
  <cellStyles count="1">
    <cellStyle name="Normal" xfId="0" builtinId="0"/>
  </cellStyles>
  <dxfs count="14"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color rgb="FF0070C0"/>
        <name val="Calibri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3" formatCode="0%"/>
    </dxf>
    <dxf>
      <alignment horizontal="left" vertical="top" textRotation="0" wrapText="0" indent="0" justifyLastLine="0" shrinkToFit="0" readingOrder="0"/>
    </dxf>
    <dxf>
      <numFmt numFmtId="30" formatCode="@"/>
      <alignment horizontal="left" vertical="top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165101</xdr:colOff>
      <xdr:row>0</xdr:row>
      <xdr:rowOff>0</xdr:rowOff>
    </xdr:from>
    <xdr:to>
      <xdr:col>0</xdr:col>
      <xdr:colOff>615950</xdr:colOff>
      <xdr:row>1</xdr:row>
      <xdr:rowOff>184149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duotone>
            <a:schemeClr val="accent5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101" y="0"/>
          <a:ext cx="450849" cy="45084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voice_History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_History"/>
    </sheetNames>
    <sheetDataSet>
      <sheetData sheetId="0" refreshError="1"/>
    </sheetDataSet>
  </externalBook>
</externalLink>
</file>

<file path=xl/tables/table1.xml><?xml version="1.0" encoding="utf-8"?>
<table xmlns="http://schemas.openxmlformats.org/spreadsheetml/2006/main" id="3" name="TblClients" displayName="TblClients" ref="A1:F16" totalsRowShown="0">
  <autoFilter ref="A1:F16"/>
  <tableColumns count="6">
    <tableColumn id="1" name="Client_ID" dataDxfId="13"/>
    <tableColumn id="2" name="Client_Name" dataDxfId="12"/>
    <tableColumn id="3" name="    Company_Name"/>
    <tableColumn id="4" name="            Email"/>
    <tableColumn id="5" name="                        Phone"/>
    <tableColumn id="6" name="        City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4" name="Tblproducts" displayName="Tblproducts" ref="A1:E16" totalsRowShown="0">
  <autoFilter ref="A1:E16"/>
  <tableColumns count="5">
    <tableColumn id="1" name="Product_ID"/>
    <tableColumn id="2" name="Product_Name"/>
    <tableColumn id="3" name="            Category"/>
    <tableColumn id="4" name="        Unit_Price"/>
    <tableColumn id="5" name="Tax_%" dataDxfId="1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1" name="Table1" displayName="Table1" ref="A10:F13" totalsRowShown="0" headerRowDxfId="10" dataDxfId="8" headerRowBorderDxfId="9" tableBorderDxfId="7" totalsRowBorderDxfId="6">
  <autoFilter ref="A10:F13"/>
  <tableColumns count="6">
    <tableColumn id="1" name="Product ID" dataDxfId="5"/>
    <tableColumn id="2" name="Product Name" dataDxfId="4">
      <calculatedColumnFormula>VLOOKUP(A11,Product_master!$A$1:$E$100,2,0)</calculatedColumnFormula>
    </tableColumn>
    <tableColumn id="3" name="Qty" dataDxfId="3"/>
    <tableColumn id="4" name="Unit Price" dataDxfId="2">
      <calculatedColumnFormula>VLOOKUP(A11,Product_master!$A$1:$E$100,4,0)</calculatedColumnFormula>
    </tableColumn>
    <tableColumn id="5" name="Tax %" dataDxfId="1">
      <calculatedColumnFormula>VLOOKUP(A11,Product_master!$A$1:$E$100,5,0)</calculatedColumnFormula>
    </tableColumn>
    <tableColumn id="6" name="Amount" dataDxfId="0">
      <calculatedColumnFormula>C11*D11*(1+E11)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tabSelected="1" workbookViewId="0">
      <selection activeCell="J14" sqref="J14"/>
    </sheetView>
  </sheetViews>
  <sheetFormatPr defaultRowHeight="14.5" x14ac:dyDescent="0.35"/>
  <cols>
    <col min="1" max="1" width="10.453125" style="3" customWidth="1"/>
    <col min="2" max="2" width="13.54296875" style="2" customWidth="1"/>
    <col min="3" max="3" width="18.453125" customWidth="1"/>
    <col min="4" max="4" width="12.81640625" customWidth="1"/>
    <col min="5" max="5" width="20.81640625" customWidth="1"/>
    <col min="6" max="6" width="9.6328125" customWidth="1"/>
  </cols>
  <sheetData>
    <row r="1" spans="1:6" x14ac:dyDescent="0.35">
      <c r="A1" s="3" t="s">
        <v>0</v>
      </c>
      <c r="B1" s="2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s="3" t="s">
        <v>6</v>
      </c>
      <c r="B2" s="2" t="s">
        <v>7</v>
      </c>
      <c r="C2" t="s">
        <v>8</v>
      </c>
      <c r="D2" t="s">
        <v>9</v>
      </c>
      <c r="E2">
        <v>9000012345</v>
      </c>
      <c r="F2" t="s">
        <v>10</v>
      </c>
    </row>
    <row r="3" spans="1:6" x14ac:dyDescent="0.35">
      <c r="A3" s="3" t="s">
        <v>11</v>
      </c>
      <c r="B3" s="2" t="s">
        <v>12</v>
      </c>
      <c r="C3" t="s">
        <v>13</v>
      </c>
      <c r="D3" t="s">
        <v>14</v>
      </c>
      <c r="E3">
        <v>9000012346</v>
      </c>
      <c r="F3" t="s">
        <v>15</v>
      </c>
    </row>
    <row r="4" spans="1:6" x14ac:dyDescent="0.35">
      <c r="A4" s="3" t="s">
        <v>16</v>
      </c>
      <c r="B4" s="2" t="s">
        <v>17</v>
      </c>
      <c r="C4" t="s">
        <v>18</v>
      </c>
      <c r="D4" t="s">
        <v>19</v>
      </c>
      <c r="E4">
        <v>9000012347</v>
      </c>
      <c r="F4" t="s">
        <v>20</v>
      </c>
    </row>
    <row r="5" spans="1:6" x14ac:dyDescent="0.35">
      <c r="A5" s="3" t="s">
        <v>21</v>
      </c>
      <c r="B5" s="2" t="s">
        <v>22</v>
      </c>
      <c r="C5" t="s">
        <v>23</v>
      </c>
      <c r="D5" t="s">
        <v>24</v>
      </c>
      <c r="E5">
        <v>9000012348</v>
      </c>
      <c r="F5" t="s">
        <v>25</v>
      </c>
    </row>
    <row r="6" spans="1:6" x14ac:dyDescent="0.35">
      <c r="A6" s="3" t="s">
        <v>26</v>
      </c>
      <c r="B6" s="2" t="s">
        <v>27</v>
      </c>
      <c r="C6" t="s">
        <v>28</v>
      </c>
      <c r="D6" t="s">
        <v>29</v>
      </c>
      <c r="E6">
        <v>9000012349</v>
      </c>
      <c r="F6" t="s">
        <v>30</v>
      </c>
    </row>
    <row r="7" spans="1:6" x14ac:dyDescent="0.35">
      <c r="A7" s="3" t="s">
        <v>31</v>
      </c>
      <c r="B7" s="2" t="s">
        <v>32</v>
      </c>
      <c r="C7" t="s">
        <v>33</v>
      </c>
      <c r="D7" t="s">
        <v>34</v>
      </c>
      <c r="E7">
        <v>9000012350</v>
      </c>
      <c r="F7" t="s">
        <v>35</v>
      </c>
    </row>
    <row r="8" spans="1:6" x14ac:dyDescent="0.35">
      <c r="A8" s="3" t="s">
        <v>36</v>
      </c>
      <c r="B8" s="2" t="s">
        <v>37</v>
      </c>
      <c r="C8" t="s">
        <v>38</v>
      </c>
      <c r="D8" t="s">
        <v>39</v>
      </c>
      <c r="E8">
        <v>9000012351</v>
      </c>
      <c r="F8" t="s">
        <v>40</v>
      </c>
    </row>
    <row r="9" spans="1:6" x14ac:dyDescent="0.35">
      <c r="A9" s="3" t="s">
        <v>41</v>
      </c>
      <c r="B9" s="2" t="s">
        <v>42</v>
      </c>
      <c r="C9" t="s">
        <v>43</v>
      </c>
      <c r="D9" t="s">
        <v>44</v>
      </c>
      <c r="E9">
        <v>9000012352</v>
      </c>
      <c r="F9" t="s">
        <v>45</v>
      </c>
    </row>
    <row r="10" spans="1:6" x14ac:dyDescent="0.35">
      <c r="A10" s="3" t="s">
        <v>46</v>
      </c>
      <c r="B10" s="2" t="s">
        <v>47</v>
      </c>
      <c r="C10" t="s">
        <v>48</v>
      </c>
      <c r="D10" t="s">
        <v>49</v>
      </c>
      <c r="E10">
        <v>9000012353</v>
      </c>
      <c r="F10" t="s">
        <v>50</v>
      </c>
    </row>
    <row r="11" spans="1:6" x14ac:dyDescent="0.35">
      <c r="A11" s="3" t="s">
        <v>51</v>
      </c>
      <c r="B11" s="2" t="s">
        <v>52</v>
      </c>
      <c r="C11" t="s">
        <v>53</v>
      </c>
      <c r="D11" t="s">
        <v>54</v>
      </c>
      <c r="E11">
        <v>9000012354</v>
      </c>
      <c r="F11" t="s">
        <v>55</v>
      </c>
    </row>
    <row r="12" spans="1:6" x14ac:dyDescent="0.35">
      <c r="A12" s="3" t="s">
        <v>56</v>
      </c>
      <c r="B12" s="2" t="s">
        <v>57</v>
      </c>
      <c r="C12" t="s">
        <v>58</v>
      </c>
      <c r="D12" t="s">
        <v>59</v>
      </c>
      <c r="E12">
        <v>9000012355</v>
      </c>
      <c r="F12" t="s">
        <v>60</v>
      </c>
    </row>
    <row r="13" spans="1:6" x14ac:dyDescent="0.35">
      <c r="A13" s="3" t="s">
        <v>61</v>
      </c>
      <c r="B13" s="2" t="s">
        <v>62</v>
      </c>
      <c r="C13" t="s">
        <v>63</v>
      </c>
      <c r="D13" t="s">
        <v>64</v>
      </c>
      <c r="E13">
        <v>9000012356</v>
      </c>
      <c r="F13" t="s">
        <v>65</v>
      </c>
    </row>
    <row r="14" spans="1:6" x14ac:dyDescent="0.35">
      <c r="A14" s="3" t="s">
        <v>66</v>
      </c>
      <c r="B14" s="2" t="s">
        <v>67</v>
      </c>
      <c r="C14" t="s">
        <v>68</v>
      </c>
      <c r="D14" t="s">
        <v>69</v>
      </c>
      <c r="E14">
        <v>9000012357</v>
      </c>
      <c r="F14" t="s">
        <v>70</v>
      </c>
    </row>
    <row r="15" spans="1:6" x14ac:dyDescent="0.35">
      <c r="A15" s="3" t="s">
        <v>71</v>
      </c>
      <c r="B15" s="2" t="s">
        <v>72</v>
      </c>
      <c r="C15" t="s">
        <v>73</v>
      </c>
      <c r="D15" t="s">
        <v>74</v>
      </c>
      <c r="E15">
        <v>9000012358</v>
      </c>
      <c r="F15" t="s">
        <v>75</v>
      </c>
    </row>
    <row r="16" spans="1:6" x14ac:dyDescent="0.35">
      <c r="A16" s="3" t="s">
        <v>76</v>
      </c>
      <c r="B16" s="2" t="s">
        <v>77</v>
      </c>
      <c r="C16" t="s">
        <v>78</v>
      </c>
      <c r="D16" t="s">
        <v>79</v>
      </c>
      <c r="E16">
        <v>9000012359</v>
      </c>
      <c r="F16" t="s">
        <v>80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Views>
    <sheetView workbookViewId="0">
      <selection activeCell="M17" sqref="M17"/>
    </sheetView>
  </sheetViews>
  <sheetFormatPr defaultRowHeight="14.5" x14ac:dyDescent="0.35"/>
  <cols>
    <col min="1" max="1" width="12.26953125" customWidth="1"/>
    <col min="2" max="2" width="15.36328125" customWidth="1"/>
    <col min="3" max="3" width="15.7265625" customWidth="1"/>
    <col min="4" max="4" width="15.08984375" customWidth="1"/>
  </cols>
  <sheetData>
    <row r="1" spans="1:5" x14ac:dyDescent="0.35">
      <c r="A1" t="s">
        <v>81</v>
      </c>
      <c r="B1" t="s">
        <v>82</v>
      </c>
      <c r="C1" t="s">
        <v>83</v>
      </c>
      <c r="D1" t="s">
        <v>84</v>
      </c>
      <c r="E1" t="s">
        <v>85</v>
      </c>
    </row>
    <row r="2" spans="1:5" x14ac:dyDescent="0.35">
      <c r="A2" t="s">
        <v>86</v>
      </c>
      <c r="B2" t="s">
        <v>87</v>
      </c>
      <c r="C2" t="s">
        <v>88</v>
      </c>
      <c r="D2">
        <v>15000</v>
      </c>
      <c r="E2" s="1">
        <v>0.18</v>
      </c>
    </row>
    <row r="3" spans="1:5" x14ac:dyDescent="0.35">
      <c r="A3" t="s">
        <v>89</v>
      </c>
      <c r="B3" t="s">
        <v>90</v>
      </c>
      <c r="C3" t="s">
        <v>91</v>
      </c>
      <c r="D3">
        <v>5000</v>
      </c>
      <c r="E3" s="1">
        <v>0.18</v>
      </c>
    </row>
    <row r="4" spans="1:5" x14ac:dyDescent="0.35">
      <c r="A4" t="s">
        <v>92</v>
      </c>
      <c r="B4" t="s">
        <v>93</v>
      </c>
      <c r="C4" t="s">
        <v>94</v>
      </c>
      <c r="D4">
        <v>45000</v>
      </c>
      <c r="E4" s="1">
        <v>0.18</v>
      </c>
    </row>
    <row r="5" spans="1:5" x14ac:dyDescent="0.35">
      <c r="A5" t="s">
        <v>95</v>
      </c>
      <c r="B5" t="s">
        <v>96</v>
      </c>
      <c r="C5" t="s">
        <v>97</v>
      </c>
      <c r="D5">
        <v>12000</v>
      </c>
      <c r="E5" s="1">
        <v>0.18</v>
      </c>
    </row>
    <row r="6" spans="1:5" x14ac:dyDescent="0.35">
      <c r="A6" t="s">
        <v>98</v>
      </c>
      <c r="B6" t="s">
        <v>99</v>
      </c>
      <c r="C6" t="s">
        <v>100</v>
      </c>
      <c r="D6">
        <v>8000</v>
      </c>
      <c r="E6" s="1">
        <v>0.18</v>
      </c>
    </row>
    <row r="7" spans="1:5" x14ac:dyDescent="0.35">
      <c r="A7" t="s">
        <v>101</v>
      </c>
      <c r="B7" t="s">
        <v>102</v>
      </c>
      <c r="C7" t="s">
        <v>103</v>
      </c>
      <c r="D7">
        <v>7000</v>
      </c>
      <c r="E7" s="1">
        <v>0.18</v>
      </c>
    </row>
    <row r="8" spans="1:5" x14ac:dyDescent="0.35">
      <c r="A8" t="s">
        <v>104</v>
      </c>
      <c r="B8" t="s">
        <v>105</v>
      </c>
      <c r="C8" t="s">
        <v>106</v>
      </c>
      <c r="D8">
        <v>3000</v>
      </c>
      <c r="E8" s="1">
        <v>0</v>
      </c>
    </row>
    <row r="9" spans="1:5" x14ac:dyDescent="0.35">
      <c r="A9" t="s">
        <v>107</v>
      </c>
      <c r="B9" t="s">
        <v>108</v>
      </c>
      <c r="C9" t="s">
        <v>109</v>
      </c>
      <c r="D9">
        <v>6000</v>
      </c>
      <c r="E9" s="1">
        <v>0.18</v>
      </c>
    </row>
    <row r="10" spans="1:5" x14ac:dyDescent="0.35">
      <c r="A10" t="s">
        <v>110</v>
      </c>
      <c r="B10" t="s">
        <v>111</v>
      </c>
      <c r="C10" t="s">
        <v>91</v>
      </c>
      <c r="D10">
        <v>10000</v>
      </c>
      <c r="E10" s="1">
        <v>0.18</v>
      </c>
    </row>
    <row r="11" spans="1:5" x14ac:dyDescent="0.35">
      <c r="A11" t="s">
        <v>112</v>
      </c>
      <c r="B11" t="e">
        <f>VLOOKUP(Product_master!A2,Product_master!F,)</f>
        <v>#NAME?</v>
      </c>
      <c r="C11" t="s">
        <v>113</v>
      </c>
      <c r="D11">
        <v>4000</v>
      </c>
      <c r="E11" s="1">
        <v>0.18</v>
      </c>
    </row>
    <row r="12" spans="1:5" x14ac:dyDescent="0.35">
      <c r="A12" t="s">
        <v>114</v>
      </c>
      <c r="B12" t="s">
        <v>115</v>
      </c>
      <c r="C12" t="s">
        <v>94</v>
      </c>
      <c r="D12">
        <v>9000</v>
      </c>
      <c r="E12" s="1">
        <v>0.18</v>
      </c>
    </row>
    <row r="13" spans="1:5" x14ac:dyDescent="0.35">
      <c r="A13" t="s">
        <v>116</v>
      </c>
      <c r="B13" t="s">
        <v>117</v>
      </c>
      <c r="C13" t="s">
        <v>118</v>
      </c>
      <c r="D13">
        <v>2500</v>
      </c>
      <c r="E13" s="1">
        <v>0</v>
      </c>
    </row>
    <row r="14" spans="1:5" x14ac:dyDescent="0.35">
      <c r="A14" t="s">
        <v>119</v>
      </c>
      <c r="B14" t="s">
        <v>120</v>
      </c>
      <c r="C14" t="s">
        <v>121</v>
      </c>
      <c r="D14">
        <v>2000</v>
      </c>
      <c r="E14" s="1">
        <v>0.18</v>
      </c>
    </row>
    <row r="15" spans="1:5" x14ac:dyDescent="0.35">
      <c r="A15" t="s">
        <v>122</v>
      </c>
      <c r="B15" t="s">
        <v>123</v>
      </c>
      <c r="C15" t="s">
        <v>88</v>
      </c>
      <c r="D15">
        <v>20000</v>
      </c>
      <c r="E15" s="1">
        <v>0.18</v>
      </c>
    </row>
    <row r="16" spans="1:5" x14ac:dyDescent="0.35">
      <c r="A16" t="s">
        <v>124</v>
      </c>
      <c r="B16" t="s">
        <v>125</v>
      </c>
      <c r="C16" t="s">
        <v>126</v>
      </c>
      <c r="D16">
        <v>15000</v>
      </c>
      <c r="E16" s="1">
        <v>0.18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22"/>
  <sheetViews>
    <sheetView showGridLines="0" zoomScaleNormal="100" workbookViewId="0">
      <selection activeCell="M13" sqref="M13:N13"/>
    </sheetView>
  </sheetViews>
  <sheetFormatPr defaultRowHeight="14.5" x14ac:dyDescent="0.35"/>
  <cols>
    <col min="1" max="1" width="13.6328125" customWidth="1"/>
    <col min="2" max="2" width="19.90625" customWidth="1"/>
    <col min="3" max="3" width="10.54296875" customWidth="1"/>
    <col min="4" max="4" width="12.08984375" customWidth="1"/>
    <col min="5" max="5" width="14.6328125" customWidth="1"/>
    <col min="6" max="6" width="11" customWidth="1"/>
  </cols>
  <sheetData>
    <row r="1" spans="1:58" ht="21" x14ac:dyDescent="0.5">
      <c r="B1" s="4" t="s">
        <v>134</v>
      </c>
      <c r="E1" s="14" t="s">
        <v>154</v>
      </c>
      <c r="F1" t="str">
        <f>"INV-" &amp; TEXT(COUNTA([1]Invoice_History!A:A),"000")</f>
        <v>INV-1048576</v>
      </c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/>
      <c r="AS1" s="29"/>
      <c r="AT1" s="29"/>
      <c r="AU1" s="29"/>
      <c r="AV1" s="29"/>
      <c r="AW1" s="29"/>
      <c r="AX1" s="29"/>
      <c r="AY1" s="29"/>
      <c r="AZ1" s="29"/>
      <c r="BA1" s="29"/>
      <c r="BB1" s="29"/>
      <c r="BC1" s="29"/>
      <c r="BD1" s="29"/>
      <c r="BE1" s="29"/>
      <c r="BF1" s="29"/>
    </row>
    <row r="2" spans="1:58" x14ac:dyDescent="0.35">
      <c r="B2" s="5" t="s">
        <v>145</v>
      </c>
      <c r="E2" s="8" t="s">
        <v>155</v>
      </c>
      <c r="F2" s="37">
        <v>46023</v>
      </c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  <c r="AS2" s="29"/>
      <c r="AT2" s="29"/>
      <c r="AU2" s="29"/>
      <c r="AV2" s="29"/>
      <c r="AW2" s="29"/>
      <c r="AX2" s="29"/>
      <c r="AY2" s="29"/>
      <c r="AZ2" s="29"/>
      <c r="BA2" s="29"/>
      <c r="BB2" s="29"/>
      <c r="BC2" s="29"/>
      <c r="BD2" s="29"/>
      <c r="BE2" s="29"/>
      <c r="BF2" s="29"/>
    </row>
    <row r="3" spans="1:58" s="13" customFormat="1" x14ac:dyDescent="0.35">
      <c r="E3" s="8" t="s">
        <v>156</v>
      </c>
      <c r="F3" s="37">
        <v>46037</v>
      </c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  <c r="AR3" s="29"/>
      <c r="AS3" s="29"/>
      <c r="AT3" s="29"/>
      <c r="AU3" s="29"/>
      <c r="AV3" s="29"/>
      <c r="AW3" s="29"/>
      <c r="AX3" s="29"/>
      <c r="AY3" s="29"/>
      <c r="AZ3" s="29"/>
      <c r="BA3" s="29"/>
      <c r="BB3" s="29"/>
      <c r="BC3" s="29"/>
      <c r="BD3" s="29"/>
      <c r="BE3" s="29"/>
      <c r="BF3" s="29"/>
    </row>
    <row r="4" spans="1:58" x14ac:dyDescent="0.35">
      <c r="A4" s="31" t="s">
        <v>144</v>
      </c>
      <c r="B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  <c r="AR4" s="29"/>
      <c r="AS4" s="29"/>
      <c r="AT4" s="29"/>
      <c r="AU4" s="29"/>
      <c r="AV4" s="29"/>
      <c r="AW4" s="29"/>
      <c r="AX4" s="29"/>
      <c r="AY4" s="29"/>
      <c r="AZ4" s="29"/>
      <c r="BA4" s="29"/>
      <c r="BB4" s="29"/>
      <c r="BC4" s="29"/>
      <c r="BD4" s="29"/>
      <c r="BE4" s="29"/>
      <c r="BF4" s="29"/>
    </row>
    <row r="5" spans="1:58" x14ac:dyDescent="0.35">
      <c r="A5" s="32" t="s">
        <v>146</v>
      </c>
      <c r="B5" s="33" t="s">
        <v>76</v>
      </c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</row>
    <row r="6" spans="1:58" x14ac:dyDescent="0.35">
      <c r="A6" s="15" t="s">
        <v>147</v>
      </c>
      <c r="B6" s="24" t="str">
        <f>VLOOKUP(B5,Clients_Master!$A$1:$E$100,2,0)</f>
        <v xml:space="preserve">    Varun Kapoor</v>
      </c>
    </row>
    <row r="7" spans="1:58" x14ac:dyDescent="0.35">
      <c r="A7" s="15" t="s">
        <v>148</v>
      </c>
      <c r="B7" s="24" t="str">
        <f>VLOOKUP(B5,Clients_Master!$A$1:$E$100,3,0)</f>
        <v>MarketMinds Pvt Ltd</v>
      </c>
    </row>
    <row r="8" spans="1:58" x14ac:dyDescent="0.35">
      <c r="A8" s="16" t="s">
        <v>149</v>
      </c>
      <c r="B8" s="27" t="str">
        <f>VLOOKUP(B5, Clients_Master!A:F, 6, FALSE)</f>
        <v xml:space="preserve">    Chandigarh</v>
      </c>
    </row>
    <row r="10" spans="1:58" s="20" customFormat="1" x14ac:dyDescent="0.35">
      <c r="A10" s="17" t="s">
        <v>135</v>
      </c>
      <c r="B10" s="18" t="s">
        <v>136</v>
      </c>
      <c r="C10" s="18" t="s">
        <v>137</v>
      </c>
      <c r="D10" s="18" t="s">
        <v>138</v>
      </c>
      <c r="E10" s="18" t="s">
        <v>139</v>
      </c>
      <c r="F10" s="19" t="s">
        <v>140</v>
      </c>
    </row>
    <row r="11" spans="1:58" x14ac:dyDescent="0.35">
      <c r="A11" s="22" t="s">
        <v>101</v>
      </c>
      <c r="B11" s="7" t="str">
        <f>VLOOKUP(A11,Product_master!$A$1:$E$100,2,0)</f>
        <v xml:space="preserve">    Social Media Management</v>
      </c>
      <c r="C11" s="23">
        <v>5</v>
      </c>
      <c r="D11" s="23">
        <f>VLOOKUP(A11,Product_master!$A$1:$E$100,4,0)</f>
        <v>7000</v>
      </c>
      <c r="E11" s="23">
        <f>VLOOKUP(A11,Product_master!$A$1:$E$100,5,0)</f>
        <v>0.18</v>
      </c>
      <c r="F11" s="24">
        <f>C11*D11*(1+E11)</f>
        <v>41300</v>
      </c>
    </row>
    <row r="12" spans="1:58" x14ac:dyDescent="0.35">
      <c r="A12" s="22" t="s">
        <v>89</v>
      </c>
      <c r="B12" s="7" t="str">
        <f>VLOOKUP(A12,Product_master!$A$1:$E$100,2,0)</f>
        <v xml:space="preserve">    Logo Design</v>
      </c>
      <c r="C12" s="23">
        <v>2</v>
      </c>
      <c r="D12" s="23">
        <f>VLOOKUP(A12,Product_master!$A$1:$E$100,4,0)</f>
        <v>5000</v>
      </c>
      <c r="E12" s="23">
        <f>VLOOKUP(A12,Product_master!$A$1:$E$100,5,0)</f>
        <v>0.18</v>
      </c>
      <c r="F12" s="24">
        <f>C12*D12*(1+E12)</f>
        <v>11800</v>
      </c>
    </row>
    <row r="13" spans="1:58" x14ac:dyDescent="0.35">
      <c r="A13" s="25" t="s">
        <v>92</v>
      </c>
      <c r="B13" s="21" t="str">
        <f>VLOOKUP(A13,Product_master!$A$1:$E$100,2,0)</f>
        <v xml:space="preserve">    Mobile App Development</v>
      </c>
      <c r="C13" s="26">
        <v>3</v>
      </c>
      <c r="D13" s="26">
        <f>VLOOKUP(A13,Product_master!$A$1:$E$100,4,0)</f>
        <v>45000</v>
      </c>
      <c r="E13" s="26">
        <f>VLOOKUP(A13,Product_master!$A$1:$E$100,5,0)</f>
        <v>0.18</v>
      </c>
      <c r="F13" s="27">
        <f>C13*D13*(1+E13)</f>
        <v>159300</v>
      </c>
    </row>
    <row r="14" spans="1:58" x14ac:dyDescent="0.35">
      <c r="E14" s="14" t="s">
        <v>141</v>
      </c>
      <c r="F14" s="12">
        <f>SUM(F11:F13)</f>
        <v>212400</v>
      </c>
    </row>
    <row r="15" spans="1:58" x14ac:dyDescent="0.35">
      <c r="A15" s="36" t="s">
        <v>127</v>
      </c>
      <c r="B15" s="13"/>
      <c r="C15" s="13"/>
      <c r="E15" s="8" t="s">
        <v>142</v>
      </c>
      <c r="F15" s="9">
        <f>F143000</f>
        <v>0</v>
      </c>
    </row>
    <row r="16" spans="1:58" x14ac:dyDescent="0.35">
      <c r="A16" t="s">
        <v>128</v>
      </c>
      <c r="E16" s="34" t="s">
        <v>143</v>
      </c>
      <c r="F16" s="35">
        <f>F14+F15</f>
        <v>212400</v>
      </c>
    </row>
    <row r="17" spans="1:2" x14ac:dyDescent="0.35">
      <c r="A17" t="s">
        <v>129</v>
      </c>
    </row>
    <row r="19" spans="1:2" x14ac:dyDescent="0.35">
      <c r="A19" s="28" t="s">
        <v>130</v>
      </c>
    </row>
    <row r="20" spans="1:2" x14ac:dyDescent="0.35">
      <c r="A20" s="30" t="s">
        <v>131</v>
      </c>
      <c r="B20" s="12"/>
    </row>
    <row r="21" spans="1:2" x14ac:dyDescent="0.35">
      <c r="A21" s="6" t="s">
        <v>132</v>
      </c>
      <c r="B21" s="9"/>
    </row>
    <row r="22" spans="1:2" x14ac:dyDescent="0.35">
      <c r="A22" s="10" t="s">
        <v>133</v>
      </c>
      <c r="B22" s="11"/>
    </row>
  </sheetData>
  <dataValidations count="1">
    <dataValidation showDropDown="1" showInputMessage="1" showErrorMessage="1" sqref="C5"/>
  </dataValidations>
  <pageMargins left="0.7" right="0.7" top="0.75" bottom="0.75" header="0.3" footer="0.3"/>
  <pageSetup orientation="portrait" r:id="rId1"/>
  <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Product_master!$A$1:$A$100</xm:f>
          </x14:formula1>
          <xm:sqref>A11:A13</xm:sqref>
        </x14:dataValidation>
        <x14:dataValidation type="list" allowBlank="1" showInputMessage="1" showErrorMessage="1">
          <x14:formula1>
            <xm:f>Clients_Master!D2:D100</xm:f>
          </x14:formula1>
          <xm:sqref>D5:F5</xm:sqref>
        </x14:dataValidation>
        <x14:dataValidation type="list" allowBlank="1" showInputMessage="1" showErrorMessage="1">
          <x14:formula1>
            <xm:f>Clients_Master!XFC2:XFC100</xm:f>
          </x14:formula1>
          <xm:sqref>XFC5:XFD5</xm:sqref>
        </x14:dataValidation>
        <x14:dataValidation type="list" allowBlank="1" showInputMessage="1" showErrorMessage="1">
          <x14:formula1>
            <xm:f>Clients_Master!H2:H100</xm:f>
          </x14:formula1>
          <xm:sqref>G5:XFB5</xm:sqref>
        </x14:dataValidation>
        <x14:dataValidation type="list" allowBlank="1" showInputMessage="1" showErrorMessage="1">
          <x14:formula1>
            <xm:f>Clients_Master!A2:A100</xm:f>
          </x14:formula1>
          <xm:sqref>B5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>
      <selection activeCell="D15" sqref="D15"/>
    </sheetView>
  </sheetViews>
  <sheetFormatPr defaultRowHeight="14.5" x14ac:dyDescent="0.35"/>
  <cols>
    <col min="1" max="1" width="13.36328125" customWidth="1"/>
  </cols>
  <sheetData>
    <row r="1" spans="1:1" x14ac:dyDescent="0.35">
      <c r="A1" t="s">
        <v>153</v>
      </c>
    </row>
    <row r="2" spans="1:1" x14ac:dyDescent="0.35">
      <c r="A2" t="s">
        <v>150</v>
      </c>
    </row>
    <row r="3" spans="1:1" x14ac:dyDescent="0.35">
      <c r="A3" t="s">
        <v>151</v>
      </c>
    </row>
    <row r="4" spans="1:1" x14ac:dyDescent="0.35">
      <c r="A4" t="s">
        <v>152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9"/>
  <sheetViews>
    <sheetView workbookViewId="0">
      <selection activeCell="G17" sqref="G17"/>
    </sheetView>
  </sheetViews>
  <sheetFormatPr defaultRowHeight="14.5" x14ac:dyDescent="0.35"/>
  <sheetData>
    <row r="1" spans="1:1" x14ac:dyDescent="0.35">
      <c r="A1" t="s">
        <v>157</v>
      </c>
    </row>
    <row r="2" spans="1:1" x14ac:dyDescent="0.35">
      <c r="A2" t="s">
        <v>158</v>
      </c>
    </row>
    <row r="4" spans="1:1" x14ac:dyDescent="0.35">
      <c r="A4" t="s">
        <v>159</v>
      </c>
    </row>
    <row r="5" spans="1:1" x14ac:dyDescent="0.35">
      <c r="A5" t="s">
        <v>160</v>
      </c>
    </row>
    <row r="7" spans="1:1" x14ac:dyDescent="0.35">
      <c r="A7" t="s">
        <v>161</v>
      </c>
    </row>
    <row r="8" spans="1:1" x14ac:dyDescent="0.35">
      <c r="A8" t="s">
        <v>165</v>
      </c>
    </row>
    <row r="9" spans="1:1" x14ac:dyDescent="0.35">
      <c r="A9" t="s">
        <v>166</v>
      </c>
    </row>
    <row r="10" spans="1:1" x14ac:dyDescent="0.35">
      <c r="A10" t="s">
        <v>167</v>
      </c>
    </row>
    <row r="12" spans="1:1" x14ac:dyDescent="0.35">
      <c r="A12" t="s">
        <v>162</v>
      </c>
    </row>
    <row r="13" spans="1:1" x14ac:dyDescent="0.35">
      <c r="A13" t="s">
        <v>171</v>
      </c>
    </row>
    <row r="14" spans="1:1" x14ac:dyDescent="0.35">
      <c r="A14" t="s">
        <v>168</v>
      </c>
    </row>
    <row r="15" spans="1:1" x14ac:dyDescent="0.35">
      <c r="A15" t="s">
        <v>169</v>
      </c>
    </row>
    <row r="16" spans="1:1" x14ac:dyDescent="0.35">
      <c r="A16" t="s">
        <v>170</v>
      </c>
    </row>
    <row r="18" spans="1:1" x14ac:dyDescent="0.35">
      <c r="A18" t="s">
        <v>163</v>
      </c>
    </row>
    <row r="19" spans="1:1" x14ac:dyDescent="0.35">
      <c r="A19" t="s">
        <v>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Clients_Master</vt:lpstr>
      <vt:lpstr>Product_master</vt:lpstr>
      <vt:lpstr>Invoice</vt:lpstr>
      <vt:lpstr>Invoice_Data</vt:lpstr>
      <vt:lpstr>README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Hello</cp:lastModifiedBy>
  <dcterms:created xsi:type="dcterms:W3CDTF">2026-02-17T06:16:33Z</dcterms:created>
  <dcterms:modified xsi:type="dcterms:W3CDTF">2026-03-05T05:20:01Z</dcterms:modified>
</cp:coreProperties>
</file>